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stomer\Projects\MultiCam_Study\Output_Data\Integrated_Values\Right_Leg\ICC_By_Mean\"/>
    </mc:Choice>
  </mc:AlternateContent>
  <xr:revisionPtr revIDLastSave="0" documentId="13_ncr:1_{1D776BEC-4F42-4910-8363-FA44B78AB5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grated_Val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3" i="1" l="1"/>
  <c r="J12" i="1"/>
  <c r="J11" i="1"/>
  <c r="J7" i="1"/>
  <c r="J6" i="1"/>
  <c r="J5" i="1"/>
  <c r="J10" i="1"/>
  <c r="J9" i="1"/>
  <c r="J8" i="1"/>
  <c r="J4" i="1"/>
  <c r="J3" i="1"/>
  <c r="J2" i="1"/>
  <c r="B18" i="1" s="1"/>
  <c r="F13" i="1"/>
  <c r="F12" i="1"/>
  <c r="F11" i="1"/>
  <c r="F7" i="1"/>
  <c r="F6" i="1"/>
  <c r="F5" i="1"/>
  <c r="F10" i="1"/>
  <c r="F9" i="1"/>
  <c r="F8" i="1"/>
  <c r="F4" i="1"/>
  <c r="F3" i="1"/>
  <c r="F2" i="1"/>
  <c r="B16" i="1"/>
  <c r="B15" i="1"/>
  <c r="B17" i="1" l="1"/>
</calcChain>
</file>

<file path=xl/sharedStrings.xml><?xml version="1.0" encoding="utf-8"?>
<sst xmlns="http://schemas.openxmlformats.org/spreadsheetml/2006/main" count="38" uniqueCount="21">
  <si>
    <t>Joint</t>
  </si>
  <si>
    <t>Plane</t>
  </si>
  <si>
    <t>ICC_W1</t>
  </si>
  <si>
    <t>ICC_W2</t>
  </si>
  <si>
    <t>ICC_W3</t>
  </si>
  <si>
    <t>SEM_W1</t>
  </si>
  <si>
    <t>SEM_W2</t>
  </si>
  <si>
    <t>SEM_W3</t>
  </si>
  <si>
    <t>RANK</t>
  </si>
  <si>
    <t>X</t>
  </si>
  <si>
    <t>Y</t>
  </si>
  <si>
    <t>Z</t>
  </si>
  <si>
    <t>RHIP</t>
  </si>
  <si>
    <t>RKNEE</t>
  </si>
  <si>
    <t>RPV</t>
  </si>
  <si>
    <t>Avg. ICC</t>
  </si>
  <si>
    <t>SD. ICC</t>
  </si>
  <si>
    <t>Avg. SEM</t>
  </si>
  <si>
    <t>SD. SEM</t>
  </si>
  <si>
    <t>ICC_Avg</t>
  </si>
  <si>
    <t>SEM_Avg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</si>
</sst>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="140" zoomScaleNormal="140" workbookViewId="0">
      <selection sqref="A1:XFD1048576"/>
    </sheetView>
  </sheetViews>
  <sheetFormatPr defaultRowHeight="14.4" x14ac:dyDescent="0.3"/>
  <cols>
    <col min="1" max="16384" width="8.8867187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5</v>
      </c>
      <c r="H1" s="1" t="s">
        <v>6</v>
      </c>
      <c r="I1" s="1" t="s">
        <v>7</v>
      </c>
      <c r="J1" s="1" t="s">
        <v>20</v>
      </c>
    </row>
    <row r="2" spans="1:10" x14ac:dyDescent="0.3">
      <c r="A2" s="1" t="s">
        <v>8</v>
      </c>
      <c r="B2" s="1" t="s">
        <v>9</v>
      </c>
      <c r="C2" s="1">
        <v>0.95362426857228</v>
      </c>
      <c r="D2" s="1">
        <v>0.94406818043962004</v>
      </c>
      <c r="E2" s="1">
        <v>0.85727925538421001</v>
      </c>
      <c r="F2" s="1">
        <f>AVERAGE(C2:E2)</f>
        <v>0.91832390146537002</v>
      </c>
      <c r="G2" s="1">
        <v>0.45999316802830897</v>
      </c>
      <c r="H2" s="1">
        <v>0.58875647396180397</v>
      </c>
      <c r="I2" s="1">
        <v>0.67583713535790801</v>
      </c>
      <c r="J2" s="1">
        <f>AVERAGE(G2:I2)</f>
        <v>0.57486225911600697</v>
      </c>
    </row>
    <row r="3" spans="1:10" x14ac:dyDescent="0.3">
      <c r="A3" s="1" t="s">
        <v>8</v>
      </c>
      <c r="B3" s="1" t="s">
        <v>10</v>
      </c>
      <c r="C3" s="1">
        <v>0.84365354448144303</v>
      </c>
      <c r="D3" s="1">
        <v>0.82354731475353304</v>
      </c>
      <c r="E3" s="1">
        <v>0.51946352098587301</v>
      </c>
      <c r="F3" s="1">
        <f t="shared" ref="F3:F13" si="0">AVERAGE(C3:E3)</f>
        <v>0.72888812674028303</v>
      </c>
      <c r="G3" s="1">
        <v>0.47290973449707502</v>
      </c>
      <c r="H3" s="1">
        <v>0.51308023058888597</v>
      </c>
      <c r="I3" s="1">
        <v>0.56491012105898197</v>
      </c>
      <c r="J3" s="1">
        <f t="shared" ref="J3:J13" si="1">AVERAGE(G3:I3)</f>
        <v>0.51696669538164763</v>
      </c>
    </row>
    <row r="4" spans="1:10" x14ac:dyDescent="0.3">
      <c r="A4" s="1" t="s">
        <v>8</v>
      </c>
      <c r="B4" s="1" t="s">
        <v>11</v>
      </c>
      <c r="C4" s="1">
        <v>0.92021595998647898</v>
      </c>
      <c r="D4" s="1">
        <v>0.90613293794530103</v>
      </c>
      <c r="E4" s="1">
        <v>0.89662404620698399</v>
      </c>
      <c r="F4" s="1">
        <f t="shared" si="0"/>
        <v>0.90765764804625471</v>
      </c>
      <c r="G4" s="1">
        <v>0.62054767646454201</v>
      </c>
      <c r="H4" s="1">
        <v>0.70774478371716498</v>
      </c>
      <c r="I4" s="1">
        <v>0.65783422750369203</v>
      </c>
      <c r="J4" s="1">
        <f t="shared" si="1"/>
        <v>0.66204222922846634</v>
      </c>
    </row>
    <row r="5" spans="1:10" x14ac:dyDescent="0.3">
      <c r="A5" s="1" t="s">
        <v>13</v>
      </c>
      <c r="B5" s="1" t="s">
        <v>9</v>
      </c>
      <c r="C5" s="1">
        <v>0.95314285309852997</v>
      </c>
      <c r="D5" s="1">
        <v>0.94109284948821503</v>
      </c>
      <c r="E5" s="1">
        <v>0.90294354134133303</v>
      </c>
      <c r="F5" s="1">
        <f>AVERAGE(C5:E5)</f>
        <v>0.93239308130935938</v>
      </c>
      <c r="G5" s="1">
        <v>0.58165407561457805</v>
      </c>
      <c r="H5" s="1">
        <v>0.67445562545904902</v>
      </c>
      <c r="I5" s="1">
        <v>0.77205333625658501</v>
      </c>
      <c r="J5" s="1">
        <f>AVERAGE(G5:I5)</f>
        <v>0.67605434577673729</v>
      </c>
    </row>
    <row r="6" spans="1:10" x14ac:dyDescent="0.3">
      <c r="A6" s="1" t="s">
        <v>13</v>
      </c>
      <c r="B6" s="1" t="s">
        <v>10</v>
      </c>
      <c r="C6" s="1">
        <v>0.97301069351478198</v>
      </c>
      <c r="D6" s="1">
        <v>0.96656749769023298</v>
      </c>
      <c r="E6" s="1">
        <v>0.95271785950187204</v>
      </c>
      <c r="F6" s="1">
        <f>AVERAGE(C6:E6)</f>
        <v>0.96409868356896233</v>
      </c>
      <c r="G6" s="1">
        <v>0.309181429169886</v>
      </c>
      <c r="H6" s="1">
        <v>0.36013119292935802</v>
      </c>
      <c r="I6" s="1">
        <v>0.32523198331665998</v>
      </c>
      <c r="J6" s="1">
        <f>AVERAGE(G6:I6)</f>
        <v>0.33151486847196798</v>
      </c>
    </row>
    <row r="7" spans="1:10" x14ac:dyDescent="0.3">
      <c r="A7" s="1" t="s">
        <v>13</v>
      </c>
      <c r="B7" s="1" t="s">
        <v>11</v>
      </c>
      <c r="C7" s="1">
        <v>0.79155385103439801</v>
      </c>
      <c r="D7" s="1">
        <v>0.808189397090738</v>
      </c>
      <c r="E7" s="1">
        <v>0.72998696616467396</v>
      </c>
      <c r="F7" s="1">
        <f>AVERAGE(C7:E7)</f>
        <v>0.77657673809660333</v>
      </c>
      <c r="G7" s="1">
        <v>0.60263080490956999</v>
      </c>
      <c r="H7" s="1">
        <v>0.63549934274671305</v>
      </c>
      <c r="I7" s="1">
        <v>0.74535913635509798</v>
      </c>
      <c r="J7" s="1">
        <f>AVERAGE(G7:I7)</f>
        <v>0.66116309467046042</v>
      </c>
    </row>
    <row r="8" spans="1:10" x14ac:dyDescent="0.3">
      <c r="A8" s="1" t="s">
        <v>12</v>
      </c>
      <c r="B8" s="1" t="s">
        <v>9</v>
      </c>
      <c r="C8" s="1">
        <v>0.93119484058216895</v>
      </c>
      <c r="D8" s="1">
        <v>0.89144162272856897</v>
      </c>
      <c r="E8" s="1">
        <v>0.91668942620721705</v>
      </c>
      <c r="F8" s="1">
        <f t="shared" si="0"/>
        <v>0.91310862983931829</v>
      </c>
      <c r="G8" s="1">
        <v>0.65836540398660504</v>
      </c>
      <c r="H8" s="1">
        <v>0.77426753730060105</v>
      </c>
      <c r="I8" s="1">
        <v>0.74692503772915297</v>
      </c>
      <c r="J8" s="1">
        <f t="shared" si="1"/>
        <v>0.72651932633878635</v>
      </c>
    </row>
    <row r="9" spans="1:10" x14ac:dyDescent="0.3">
      <c r="A9" s="1" t="s">
        <v>12</v>
      </c>
      <c r="B9" s="1" t="s">
        <v>10</v>
      </c>
      <c r="C9" s="1">
        <v>0.94435307228534404</v>
      </c>
      <c r="D9" s="1">
        <v>0.938040926584086</v>
      </c>
      <c r="E9" s="1">
        <v>0.86109768133417797</v>
      </c>
      <c r="F9" s="1">
        <f t="shared" si="0"/>
        <v>0.91449722673453593</v>
      </c>
      <c r="G9" s="1">
        <v>0.43811859756583399</v>
      </c>
      <c r="H9" s="1">
        <v>0.50485805013347096</v>
      </c>
      <c r="I9" s="1">
        <v>0.57444915340556202</v>
      </c>
      <c r="J9" s="1">
        <f t="shared" si="1"/>
        <v>0.50580860036828901</v>
      </c>
    </row>
    <row r="10" spans="1:10" x14ac:dyDescent="0.3">
      <c r="A10" s="1" t="s">
        <v>12</v>
      </c>
      <c r="B10" s="1" t="s">
        <v>11</v>
      </c>
      <c r="C10" s="1">
        <v>0.94705865778521103</v>
      </c>
      <c r="D10" s="1">
        <v>0.91544455985603301</v>
      </c>
      <c r="E10" s="1">
        <v>0.91982582474683605</v>
      </c>
      <c r="F10" s="1">
        <f t="shared" si="0"/>
        <v>0.92744301412936003</v>
      </c>
      <c r="G10" s="1">
        <v>0.47990684634103697</v>
      </c>
      <c r="H10" s="1">
        <v>0.56026629232333303</v>
      </c>
      <c r="I10" s="1">
        <v>0.52221158996524797</v>
      </c>
      <c r="J10" s="1">
        <f t="shared" si="1"/>
        <v>0.52079490954320595</v>
      </c>
    </row>
    <row r="11" spans="1:10" x14ac:dyDescent="0.3">
      <c r="A11" s="1" t="s">
        <v>14</v>
      </c>
      <c r="B11" s="1" t="s">
        <v>9</v>
      </c>
      <c r="C11" s="1">
        <v>0.86426805264417805</v>
      </c>
      <c r="D11" s="1">
        <v>0.75323932282029205</v>
      </c>
      <c r="E11" s="1">
        <v>0.79466028344027095</v>
      </c>
      <c r="F11" s="1">
        <f t="shared" si="0"/>
        <v>0.8040558863015802</v>
      </c>
      <c r="G11" s="1">
        <v>0.46860313895865502</v>
      </c>
      <c r="H11" s="1">
        <v>0.55372607517377803</v>
      </c>
      <c r="I11" s="1">
        <v>0.51347988670706601</v>
      </c>
      <c r="J11" s="1">
        <f t="shared" si="1"/>
        <v>0.51193636694649969</v>
      </c>
    </row>
    <row r="12" spans="1:10" x14ac:dyDescent="0.3">
      <c r="A12" s="1" t="s">
        <v>14</v>
      </c>
      <c r="B12" s="1" t="s">
        <v>10</v>
      </c>
      <c r="C12" s="1">
        <v>0.91393929034786603</v>
      </c>
      <c r="D12" s="1">
        <v>0.92369775667860199</v>
      </c>
      <c r="E12" s="1">
        <v>0.89857516983225105</v>
      </c>
      <c r="F12" s="1">
        <f t="shared" si="0"/>
        <v>0.91207073895290636</v>
      </c>
      <c r="G12" s="1">
        <v>0.39699967262458502</v>
      </c>
      <c r="H12" s="1">
        <v>0.40542284583687499</v>
      </c>
      <c r="I12" s="1">
        <v>0.498319800118385</v>
      </c>
      <c r="J12" s="1">
        <f t="shared" si="1"/>
        <v>0.43358077285994834</v>
      </c>
    </row>
    <row r="13" spans="1:10" x14ac:dyDescent="0.3">
      <c r="A13" s="1" t="s">
        <v>14</v>
      </c>
      <c r="B13" s="1" t="s">
        <v>11</v>
      </c>
      <c r="C13" s="1">
        <v>0.98653463523683305</v>
      </c>
      <c r="D13" s="1">
        <v>0.95561104992758605</v>
      </c>
      <c r="E13" s="1">
        <v>0.96255957520575597</v>
      </c>
      <c r="F13" s="1">
        <f t="shared" si="0"/>
        <v>0.96823508679005832</v>
      </c>
      <c r="G13" s="1">
        <v>0.28505306740078701</v>
      </c>
      <c r="H13" s="1">
        <v>0.43202156244204298</v>
      </c>
      <c r="I13" s="1">
        <v>0.42336560892949798</v>
      </c>
      <c r="J13" s="1">
        <f t="shared" si="1"/>
        <v>0.38014674625744266</v>
      </c>
    </row>
    <row r="15" spans="1:10" x14ac:dyDescent="0.3">
      <c r="A15" s="1" t="s">
        <v>15</v>
      </c>
      <c r="B15" s="1">
        <f>AVERAGE(C2:E13)</f>
        <v>0.8889457301645497</v>
      </c>
    </row>
    <row r="16" spans="1:10" x14ac:dyDescent="0.3">
      <c r="A16" s="1" t="s">
        <v>16</v>
      </c>
      <c r="B16" s="1">
        <f>_xlfn.STDEV.S(C2:E13)</f>
        <v>8.9594144076058174E-2</v>
      </c>
    </row>
    <row r="17" spans="1:2" x14ac:dyDescent="0.3">
      <c r="A17" s="1" t="s">
        <v>17</v>
      </c>
      <c r="B17" s="1">
        <f>AVERAGE(H2:J13)</f>
        <v>0.56198881234101028</v>
      </c>
    </row>
    <row r="18" spans="1:2" x14ac:dyDescent="0.3">
      <c r="A18" s="1" t="s">
        <v>18</v>
      </c>
      <c r="B18" s="1">
        <f>_xlfn.STDEV.S(H2:J13)</f>
        <v>0.12678781704201636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Integrated_Values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localadmin</cp:lastModifiedBy>
  <dcterms:created xsi:type="dcterms:W3CDTF">2026-05-20T16:06:24Z</dcterms:created>
  <dcterms:modified xsi:type="dcterms:W3CDTF">2026-05-26T20:55:30Z</dcterms:modified>
</cp:coreProperties>
</file>