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stomer\Projects\MultiCam_Study\Output_Data\Integrated_Values\Right_Leg\"/>
    </mc:Choice>
  </mc:AlternateContent>
  <xr:revisionPtr revIDLastSave="0" documentId="13_ncr:40009_{DE70CF79-9362-4C75-B1C4-C8AF4A5778B9}" xr6:coauthVersionLast="47" xr6:coauthVersionMax="47" xr10:uidLastSave="{00000000-0000-0000-0000-000000000000}"/>
  <bookViews>
    <workbookView xWindow="-108" yWindow="-108" windowWidth="23256" windowHeight="12456"/>
  </bookViews>
  <sheets>
    <sheet name="Integrated_Values" sheetId="1" r:id="rId1"/>
  </sheets>
  <calcPr calcId="0"/>
</workbook>
</file>

<file path=xl/calcChain.xml><?xml version="1.0" encoding="utf-8"?>
<calcChain xmlns="http://schemas.openxmlformats.org/spreadsheetml/2006/main">
  <c r="B18" i="1" l="1"/>
  <c r="B17" i="1"/>
  <c r="B16" i="1"/>
  <c r="B15" i="1"/>
  <c r="J3" i="1"/>
  <c r="J4" i="1"/>
  <c r="J5" i="1"/>
  <c r="J6" i="1"/>
  <c r="J7" i="1"/>
  <c r="J8" i="1"/>
  <c r="J9" i="1"/>
  <c r="J10" i="1"/>
  <c r="J11" i="1"/>
  <c r="J12" i="1"/>
  <c r="J13" i="1"/>
  <c r="J2" i="1"/>
  <c r="F3" i="1"/>
  <c r="F4" i="1"/>
  <c r="F5" i="1"/>
  <c r="F6" i="1"/>
  <c r="F7" i="1"/>
  <c r="F8" i="1"/>
  <c r="F9" i="1"/>
  <c r="F10" i="1"/>
  <c r="F11" i="1"/>
  <c r="F12" i="1"/>
  <c r="F13" i="1"/>
  <c r="F2" i="1"/>
</calcChain>
</file>

<file path=xl/sharedStrings.xml><?xml version="1.0" encoding="utf-8"?>
<sst xmlns="http://schemas.openxmlformats.org/spreadsheetml/2006/main" count="38" uniqueCount="21">
  <si>
    <t>Joint</t>
  </si>
  <si>
    <t>Plane</t>
  </si>
  <si>
    <t>ICC_W1</t>
  </si>
  <si>
    <t>ICC_W2</t>
  </si>
  <si>
    <t>ICC_W3</t>
  </si>
  <si>
    <t>SEM_W1</t>
  </si>
  <si>
    <t>SEM_W2</t>
  </si>
  <si>
    <t>SEM_W3</t>
  </si>
  <si>
    <t>RANK</t>
  </si>
  <si>
    <t>X</t>
  </si>
  <si>
    <t>Y</t>
  </si>
  <si>
    <t>Z</t>
  </si>
  <si>
    <t>RHIP</t>
  </si>
  <si>
    <t>RKNEE</t>
  </si>
  <si>
    <t>RPV</t>
  </si>
  <si>
    <t>ICC_Avg</t>
  </si>
  <si>
    <t>SEM_Avg</t>
  </si>
  <si>
    <t>Avg. ICC</t>
  </si>
  <si>
    <t>SD. ICC</t>
  </si>
  <si>
    <t>Avg. SEM</t>
  </si>
  <si>
    <t>SD.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</si>
</sst>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G2" sqref="G2:I1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5</v>
      </c>
      <c r="H1" t="s">
        <v>6</v>
      </c>
      <c r="I1" t="s">
        <v>7</v>
      </c>
      <c r="J1" t="s">
        <v>16</v>
      </c>
    </row>
    <row r="2" spans="1:10" x14ac:dyDescent="0.3">
      <c r="A2" t="s">
        <v>8</v>
      </c>
      <c r="B2" t="s">
        <v>9</v>
      </c>
      <c r="C2">
        <v>0.93816496051526399</v>
      </c>
      <c r="D2">
        <v>0.94615719726366998</v>
      </c>
      <c r="E2">
        <v>0.87528143665927904</v>
      </c>
      <c r="F2">
        <f>AVERAGE(C2:E2)</f>
        <v>0.91986786481273775</v>
      </c>
      <c r="G2" s="1">
        <v>0.56713580085512605</v>
      </c>
      <c r="H2" s="1">
        <v>0.60006786856427397</v>
      </c>
      <c r="I2" s="1">
        <v>0.59380502673888302</v>
      </c>
      <c r="J2">
        <f>AVERAGE(G2:I2)</f>
        <v>0.58700289871942768</v>
      </c>
    </row>
    <row r="3" spans="1:10" x14ac:dyDescent="0.3">
      <c r="A3" t="s">
        <v>8</v>
      </c>
      <c r="B3" t="s">
        <v>10</v>
      </c>
      <c r="C3">
        <v>0.91175424443594</v>
      </c>
      <c r="D3">
        <v>0.89046175428268404</v>
      </c>
      <c r="E3">
        <v>0.67910575615158997</v>
      </c>
      <c r="F3">
        <f t="shared" ref="F3:F13" si="0">AVERAGE(C3:E3)</f>
        <v>0.8271072516234047</v>
      </c>
      <c r="G3" s="1">
        <v>0.35764412493884501</v>
      </c>
      <c r="H3" s="1">
        <v>0.38063976937791399</v>
      </c>
      <c r="I3" s="1">
        <v>0.34073512504617598</v>
      </c>
      <c r="J3">
        <f t="shared" ref="J3:J13" si="1">AVERAGE(G3:I3)</f>
        <v>0.35967300645431166</v>
      </c>
    </row>
    <row r="4" spans="1:10" x14ac:dyDescent="0.3">
      <c r="A4" t="s">
        <v>8</v>
      </c>
      <c r="B4" t="s">
        <v>11</v>
      </c>
      <c r="C4">
        <v>0.92011169386062497</v>
      </c>
      <c r="D4">
        <v>0.89958715980887505</v>
      </c>
      <c r="E4">
        <v>0.88036678148685399</v>
      </c>
      <c r="F4">
        <f t="shared" si="0"/>
        <v>0.90002187838545133</v>
      </c>
      <c r="G4" s="1">
        <v>0.64997794718704005</v>
      </c>
      <c r="H4" s="1">
        <v>0.74294673491872099</v>
      </c>
      <c r="I4" s="1">
        <v>0.71003659528354601</v>
      </c>
      <c r="J4">
        <f t="shared" si="1"/>
        <v>0.70098709246310242</v>
      </c>
    </row>
    <row r="5" spans="1:10" x14ac:dyDescent="0.3">
      <c r="A5" t="s">
        <v>12</v>
      </c>
      <c r="B5" t="s">
        <v>9</v>
      </c>
      <c r="C5">
        <v>0.95251569171056205</v>
      </c>
      <c r="D5">
        <v>0.92496136827902098</v>
      </c>
      <c r="E5">
        <v>0.94054042525112702</v>
      </c>
      <c r="F5">
        <f t="shared" si="0"/>
        <v>0.93933916174690335</v>
      </c>
      <c r="G5" s="1">
        <v>0.56865296911338103</v>
      </c>
      <c r="H5" s="1">
        <v>0.64248017519049505</v>
      </c>
      <c r="I5" s="1">
        <v>0.64816377113897095</v>
      </c>
      <c r="J5">
        <f t="shared" si="1"/>
        <v>0.61976563848094901</v>
      </c>
    </row>
    <row r="6" spans="1:10" x14ac:dyDescent="0.3">
      <c r="A6" t="s">
        <v>12</v>
      </c>
      <c r="B6" t="s">
        <v>10</v>
      </c>
      <c r="C6">
        <v>0.95619102192090599</v>
      </c>
      <c r="D6">
        <v>0.95961148256541395</v>
      </c>
      <c r="E6">
        <v>0.90538616253053295</v>
      </c>
      <c r="F6">
        <f t="shared" si="0"/>
        <v>0.94039622233895104</v>
      </c>
      <c r="G6" s="1">
        <v>0.40126089494610101</v>
      </c>
      <c r="H6" s="1">
        <v>0.39921750677235801</v>
      </c>
      <c r="I6" s="1">
        <v>0.462060210240545</v>
      </c>
      <c r="J6">
        <f t="shared" si="1"/>
        <v>0.42084620398633471</v>
      </c>
    </row>
    <row r="7" spans="1:10" x14ac:dyDescent="0.3">
      <c r="A7" t="s">
        <v>12</v>
      </c>
      <c r="B7" t="s">
        <v>11</v>
      </c>
      <c r="C7">
        <v>0.96824320411870102</v>
      </c>
      <c r="D7">
        <v>0.96103906980031495</v>
      </c>
      <c r="E7">
        <v>0.96128313546581201</v>
      </c>
      <c r="F7">
        <f t="shared" si="0"/>
        <v>0.96352180312827596</v>
      </c>
      <c r="G7" s="1">
        <v>0.38061675057887701</v>
      </c>
      <c r="H7" s="1">
        <v>0.37361715985012101</v>
      </c>
      <c r="I7" s="1">
        <v>0.37763374690061802</v>
      </c>
      <c r="J7">
        <f t="shared" si="1"/>
        <v>0.37728921910987201</v>
      </c>
    </row>
    <row r="8" spans="1:10" x14ac:dyDescent="0.3">
      <c r="A8" t="s">
        <v>13</v>
      </c>
      <c r="B8" t="s">
        <v>9</v>
      </c>
      <c r="C8">
        <v>0.93236734052329295</v>
      </c>
      <c r="D8">
        <v>0.92756628529462104</v>
      </c>
      <c r="E8">
        <v>0.87306495312216903</v>
      </c>
      <c r="F8">
        <f t="shared" si="0"/>
        <v>0.9109995263133609</v>
      </c>
      <c r="G8" s="1">
        <v>0.76405977827610405</v>
      </c>
      <c r="H8" s="1">
        <v>0.80448874860869801</v>
      </c>
      <c r="I8" s="1">
        <v>0.88354917930098797</v>
      </c>
      <c r="J8">
        <f t="shared" si="1"/>
        <v>0.81736590206193005</v>
      </c>
    </row>
    <row r="9" spans="1:10" x14ac:dyDescent="0.3">
      <c r="A9" t="s">
        <v>13</v>
      </c>
      <c r="B9" t="s">
        <v>10</v>
      </c>
      <c r="C9">
        <v>0.98318903240838096</v>
      </c>
      <c r="D9">
        <v>0.98393597394509003</v>
      </c>
      <c r="E9">
        <v>0.97691546196351897</v>
      </c>
      <c r="F9">
        <f t="shared" si="0"/>
        <v>0.98134682277232999</v>
      </c>
      <c r="G9" s="1">
        <v>0.252954532512632</v>
      </c>
      <c r="H9" s="1">
        <v>0.25879398229579997</v>
      </c>
      <c r="I9" s="1">
        <v>0.25770093855128301</v>
      </c>
      <c r="J9">
        <f t="shared" si="1"/>
        <v>0.256483151119905</v>
      </c>
    </row>
    <row r="10" spans="1:10" x14ac:dyDescent="0.3">
      <c r="A10" t="s">
        <v>13</v>
      </c>
      <c r="B10" t="s">
        <v>11</v>
      </c>
      <c r="C10">
        <v>0.88743389777322101</v>
      </c>
      <c r="D10">
        <v>0.90070157434061704</v>
      </c>
      <c r="E10">
        <v>0.835935839151416</v>
      </c>
      <c r="F10">
        <f t="shared" si="0"/>
        <v>0.87469043708841809</v>
      </c>
      <c r="G10" s="1">
        <v>0.41040778792558402</v>
      </c>
      <c r="H10" s="1">
        <v>0.40849967346896798</v>
      </c>
      <c r="I10" s="1">
        <v>0.48373034741116799</v>
      </c>
      <c r="J10">
        <f t="shared" si="1"/>
        <v>0.43421260293524</v>
      </c>
    </row>
    <row r="11" spans="1:10" x14ac:dyDescent="0.3">
      <c r="A11" t="s">
        <v>14</v>
      </c>
      <c r="B11" t="s">
        <v>9</v>
      </c>
      <c r="C11">
        <v>0.91232631896454097</v>
      </c>
      <c r="D11">
        <v>0.85118807173833699</v>
      </c>
      <c r="E11">
        <v>0.88176370339103305</v>
      </c>
      <c r="F11">
        <f t="shared" si="0"/>
        <v>0.88175936469797023</v>
      </c>
      <c r="G11" s="1">
        <v>0.35834126590508403</v>
      </c>
      <c r="H11" s="1">
        <v>0.37394973282588101</v>
      </c>
      <c r="I11" s="1">
        <v>0.30911008303335002</v>
      </c>
      <c r="J11">
        <f t="shared" si="1"/>
        <v>0.34713369392143839</v>
      </c>
    </row>
    <row r="12" spans="1:10" x14ac:dyDescent="0.3">
      <c r="A12" t="s">
        <v>14</v>
      </c>
      <c r="B12" t="s">
        <v>10</v>
      </c>
      <c r="C12">
        <v>0.94993721148629295</v>
      </c>
      <c r="D12">
        <v>0.95989447927501304</v>
      </c>
      <c r="E12">
        <v>0.95377188035684701</v>
      </c>
      <c r="F12">
        <f t="shared" si="0"/>
        <v>0.95453452370605107</v>
      </c>
      <c r="G12" s="1">
        <v>0.30096284452772898</v>
      </c>
      <c r="H12" s="1">
        <v>0.28352596676834801</v>
      </c>
      <c r="I12" s="1">
        <v>0.342795042945718</v>
      </c>
      <c r="J12">
        <f t="shared" si="1"/>
        <v>0.30909461808059829</v>
      </c>
    </row>
    <row r="13" spans="1:10" x14ac:dyDescent="0.3">
      <c r="A13" t="s">
        <v>14</v>
      </c>
      <c r="B13" t="s">
        <v>11</v>
      </c>
      <c r="C13">
        <v>0.95317795535904004</v>
      </c>
      <c r="D13">
        <v>0.94444496000522205</v>
      </c>
      <c r="E13">
        <v>0.94525271931351795</v>
      </c>
      <c r="F13">
        <f t="shared" si="0"/>
        <v>0.94762521155925994</v>
      </c>
      <c r="G13" s="1">
        <v>0.52007397778224396</v>
      </c>
      <c r="H13" s="1">
        <v>0.48622614138983999</v>
      </c>
      <c r="I13" s="1">
        <v>0.567017024042477</v>
      </c>
      <c r="J13">
        <f t="shared" si="1"/>
        <v>0.52443904773818695</v>
      </c>
    </row>
    <row r="15" spans="1:10" x14ac:dyDescent="0.3">
      <c r="A15" t="s">
        <v>17</v>
      </c>
      <c r="B15">
        <f>AVERAGE(C2:E13)</f>
        <v>0.92010083901442619</v>
      </c>
    </row>
    <row r="16" spans="1:10" x14ac:dyDescent="0.3">
      <c r="A16" t="s">
        <v>18</v>
      </c>
      <c r="B16">
        <f>_xlfn.STDEV.S(C2:E13)</f>
        <v>5.5738408386655627E-2</v>
      </c>
    </row>
    <row r="17" spans="1:2" x14ac:dyDescent="0.3">
      <c r="A17" t="s">
        <v>19</v>
      </c>
      <c r="B17">
        <f>AVERAGE(G2:I13)</f>
        <v>0.47952442292260794</v>
      </c>
    </row>
    <row r="18" spans="1:2" x14ac:dyDescent="0.3">
      <c r="A18" t="s">
        <v>20</v>
      </c>
      <c r="B18">
        <f>_xlfn.STDEV.S(G2:I13)</f>
        <v>0.16903520709507738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localadmin</cp:lastModifiedBy>
  <dcterms:created xsi:type="dcterms:W3CDTF">2026-04-29T23:51:19Z</dcterms:created>
  <dcterms:modified xsi:type="dcterms:W3CDTF">2026-04-30T00:00:14Z</dcterms:modified>
</cp:coreProperties>
</file>