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stomer\Projects\MultiCam_Study\Output_Data\Integrated_Values\"/>
    </mc:Choice>
  </mc:AlternateContent>
  <xr:revisionPtr revIDLastSave="0" documentId="13_ncr:40009_{92FC93CD-53F3-4ACA-A42B-726E2D40B8BD}" xr6:coauthVersionLast="47" xr6:coauthVersionMax="47" xr10:uidLastSave="{00000000-0000-0000-0000-000000000000}"/>
  <bookViews>
    <workbookView xWindow="-108" yWindow="-108" windowWidth="23256" windowHeight="12456"/>
  </bookViews>
  <sheets>
    <sheet name="Integrated_Values" sheetId="1" r:id="rId1"/>
  </sheets>
  <calcPr calcId="0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2" i="1"/>
  <c r="F3" i="1"/>
  <c r="F4" i="1"/>
  <c r="F5" i="1"/>
  <c r="F6" i="1"/>
  <c r="F7" i="1"/>
  <c r="F8" i="1"/>
  <c r="F9" i="1"/>
  <c r="F10" i="1"/>
  <c r="F11" i="1"/>
  <c r="F12" i="1"/>
  <c r="F13" i="1"/>
  <c r="F2" i="1"/>
  <c r="B18" i="1"/>
  <c r="B17" i="1"/>
  <c r="B16" i="1"/>
  <c r="B15" i="1"/>
</calcChain>
</file>

<file path=xl/sharedStrings.xml><?xml version="1.0" encoding="utf-8"?>
<sst xmlns="http://schemas.openxmlformats.org/spreadsheetml/2006/main" count="38" uniqueCount="21">
  <si>
    <t>Joint</t>
  </si>
  <si>
    <t>Plane</t>
  </si>
  <si>
    <t>ICC_W1</t>
  </si>
  <si>
    <t>ICC_W2</t>
  </si>
  <si>
    <t>ICC_W3</t>
  </si>
  <si>
    <t>SEM_W1</t>
  </si>
  <si>
    <t>SEM_W2</t>
  </si>
  <si>
    <t>SEM_W3</t>
  </si>
  <si>
    <t>LANK</t>
  </si>
  <si>
    <t>X</t>
  </si>
  <si>
    <t>Y</t>
  </si>
  <si>
    <t>Z</t>
  </si>
  <si>
    <t>LHIP</t>
  </si>
  <si>
    <t>LKNEE</t>
  </si>
  <si>
    <t>LPV</t>
  </si>
  <si>
    <t>Avg. ICC</t>
  </si>
  <si>
    <t>SD. ICC</t>
  </si>
  <si>
    <t>Avg. SEM</t>
  </si>
  <si>
    <t>SD. SEM</t>
  </si>
  <si>
    <t>ICC_Avg</t>
  </si>
  <si>
    <t>SEM_Avg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</si>
</sst>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sqref="A1:XFD1048576"/>
    </sheetView>
  </sheetViews>
  <sheetFormatPr defaultRowHeight="14.4" x14ac:dyDescent="0.3"/>
  <cols>
    <col min="1" max="9" width="8.88671875" style="2"/>
    <col min="10" max="10" width="9.5546875" style="2" bestFit="1" customWidth="1"/>
    <col min="11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5</v>
      </c>
      <c r="H1" s="1" t="s">
        <v>6</v>
      </c>
      <c r="I1" s="1" t="s">
        <v>7</v>
      </c>
      <c r="J1" s="1" t="s">
        <v>20</v>
      </c>
    </row>
    <row r="2" spans="1:10" x14ac:dyDescent="0.3">
      <c r="A2" s="1" t="s">
        <v>8</v>
      </c>
      <c r="B2" s="1" t="s">
        <v>9</v>
      </c>
      <c r="C2" s="1">
        <v>0.94997391729875003</v>
      </c>
      <c r="D2" s="1">
        <v>0.94628039428911703</v>
      </c>
      <c r="E2" s="1">
        <v>0.93994424591466397</v>
      </c>
      <c r="F2" s="1">
        <f>AVERAGE(C2:E2)</f>
        <v>0.9453995191675103</v>
      </c>
      <c r="G2" s="1">
        <v>0.52589209348239996</v>
      </c>
      <c r="H2" s="1">
        <v>0.601140389232108</v>
      </c>
      <c r="I2" s="1">
        <v>0.55430676070947904</v>
      </c>
      <c r="J2" s="1">
        <f>AVERAGE(G2:I2)</f>
        <v>0.56044641447466237</v>
      </c>
    </row>
    <row r="3" spans="1:10" x14ac:dyDescent="0.3">
      <c r="A3" s="1" t="s">
        <v>8</v>
      </c>
      <c r="B3" s="1" t="s">
        <v>10</v>
      </c>
      <c r="C3" s="1">
        <v>0.82517515925359897</v>
      </c>
      <c r="D3" s="1">
        <v>0.83995235356183495</v>
      </c>
      <c r="E3" s="1">
        <v>0.745908890424132</v>
      </c>
      <c r="F3" s="1">
        <f t="shared" ref="F3:F13" si="0">AVERAGE(C3:E3)</f>
        <v>0.80367880107985534</v>
      </c>
      <c r="G3" s="1">
        <v>0.349107473385116</v>
      </c>
      <c r="H3" s="1">
        <v>0.35479466661411302</v>
      </c>
      <c r="I3" s="1">
        <v>0.356778354156981</v>
      </c>
      <c r="J3" s="1">
        <f t="shared" ref="J3:J13" si="1">AVERAGE(G3:I3)</f>
        <v>0.35356016471873669</v>
      </c>
    </row>
    <row r="4" spans="1:10" x14ac:dyDescent="0.3">
      <c r="A4" s="1" t="s">
        <v>8</v>
      </c>
      <c r="B4" s="1" t="s">
        <v>11</v>
      </c>
      <c r="C4" s="1">
        <v>0.90481898517549997</v>
      </c>
      <c r="D4" s="1">
        <v>0.91914216061298604</v>
      </c>
      <c r="E4" s="1">
        <v>0.88668176114726704</v>
      </c>
      <c r="F4" s="1">
        <f t="shared" si="0"/>
        <v>0.90354763564525109</v>
      </c>
      <c r="G4" s="1">
        <v>0.65361764566666003</v>
      </c>
      <c r="H4" s="1">
        <v>0.58913793798613701</v>
      </c>
      <c r="I4" s="1">
        <v>0.62897966438324004</v>
      </c>
      <c r="J4" s="1">
        <f t="shared" si="1"/>
        <v>0.62391174934534577</v>
      </c>
    </row>
    <row r="5" spans="1:10" x14ac:dyDescent="0.3">
      <c r="A5" s="1" t="s">
        <v>12</v>
      </c>
      <c r="B5" s="1" t="s">
        <v>9</v>
      </c>
      <c r="C5" s="1">
        <v>0.95310358335631196</v>
      </c>
      <c r="D5" s="1">
        <v>0.94292540462792895</v>
      </c>
      <c r="E5" s="1">
        <v>0.93998513749989798</v>
      </c>
      <c r="F5" s="1">
        <f t="shared" si="0"/>
        <v>0.94533804182804637</v>
      </c>
      <c r="G5" s="1">
        <v>0.596578375947307</v>
      </c>
      <c r="H5" s="1">
        <v>0.66505095986388996</v>
      </c>
      <c r="I5" s="1">
        <v>0.54658665711992405</v>
      </c>
      <c r="J5" s="1">
        <f t="shared" si="1"/>
        <v>0.60273866431037371</v>
      </c>
    </row>
    <row r="6" spans="1:10" x14ac:dyDescent="0.3">
      <c r="A6" s="1" t="s">
        <v>12</v>
      </c>
      <c r="B6" s="1" t="s">
        <v>10</v>
      </c>
      <c r="C6" s="1">
        <v>0.95859446372246704</v>
      </c>
      <c r="D6" s="1">
        <v>0.96544989036657902</v>
      </c>
      <c r="E6" s="1">
        <v>0.95849445964506896</v>
      </c>
      <c r="F6" s="1">
        <f t="shared" si="0"/>
        <v>0.96084627124470501</v>
      </c>
      <c r="G6" s="1">
        <v>0.42401376389061801</v>
      </c>
      <c r="H6" s="1">
        <v>0.39669524988735999</v>
      </c>
      <c r="I6" s="1">
        <v>0.43165888395164598</v>
      </c>
      <c r="J6" s="1">
        <f t="shared" si="1"/>
        <v>0.41745596590987466</v>
      </c>
    </row>
    <row r="7" spans="1:10" x14ac:dyDescent="0.3">
      <c r="A7" s="1" t="s">
        <v>12</v>
      </c>
      <c r="B7" s="1" t="s">
        <v>11</v>
      </c>
      <c r="C7" s="1">
        <v>0.96074135545463102</v>
      </c>
      <c r="D7" s="1">
        <v>0.94223921993473003</v>
      </c>
      <c r="E7" s="1">
        <v>0.91126034990137394</v>
      </c>
      <c r="F7" s="1">
        <f t="shared" si="0"/>
        <v>0.93808030843024504</v>
      </c>
      <c r="G7" s="1">
        <v>0.35854882350884298</v>
      </c>
      <c r="H7" s="1">
        <v>0.39814749194458299</v>
      </c>
      <c r="I7" s="1">
        <v>0.41012604456018198</v>
      </c>
      <c r="J7" s="1">
        <f t="shared" si="1"/>
        <v>0.38894078667120269</v>
      </c>
    </row>
    <row r="8" spans="1:10" x14ac:dyDescent="0.3">
      <c r="A8" s="1" t="s">
        <v>13</v>
      </c>
      <c r="B8" s="1" t="s">
        <v>9</v>
      </c>
      <c r="C8" s="1">
        <v>0.94184134315125001</v>
      </c>
      <c r="D8" s="1">
        <v>0.92000047389273298</v>
      </c>
      <c r="E8" s="1">
        <v>0.94070389861997905</v>
      </c>
      <c r="F8" s="1">
        <f t="shared" si="0"/>
        <v>0.93418190522132072</v>
      </c>
      <c r="G8" s="1">
        <v>0.76683784579949099</v>
      </c>
      <c r="H8" s="1">
        <v>0.88296016162942503</v>
      </c>
      <c r="I8" s="1">
        <v>0.76729707160656002</v>
      </c>
      <c r="J8" s="1">
        <f t="shared" si="1"/>
        <v>0.80569835967849202</v>
      </c>
    </row>
    <row r="9" spans="1:10" x14ac:dyDescent="0.3">
      <c r="A9" s="1" t="s">
        <v>13</v>
      </c>
      <c r="B9" s="1" t="s">
        <v>10</v>
      </c>
      <c r="C9" s="1">
        <v>0.97388338828737397</v>
      </c>
      <c r="D9" s="1">
        <v>0.96408399222223695</v>
      </c>
      <c r="E9" s="1">
        <v>0.95531319988477803</v>
      </c>
      <c r="F9" s="1">
        <f t="shared" si="0"/>
        <v>0.96442686013146295</v>
      </c>
      <c r="G9" s="1">
        <v>0.23929331126280001</v>
      </c>
      <c r="H9" s="1">
        <v>0.27347837547378301</v>
      </c>
      <c r="I9" s="1">
        <v>0.27084617134910699</v>
      </c>
      <c r="J9" s="1">
        <f t="shared" si="1"/>
        <v>0.26120595269523</v>
      </c>
    </row>
    <row r="10" spans="1:10" x14ac:dyDescent="0.3">
      <c r="A10" s="1" t="s">
        <v>13</v>
      </c>
      <c r="B10" s="1" t="s">
        <v>11</v>
      </c>
      <c r="C10" s="1">
        <v>0.93740419724036905</v>
      </c>
      <c r="D10" s="1">
        <v>0.92879443695312502</v>
      </c>
      <c r="E10" s="1">
        <v>0.87499203808235804</v>
      </c>
      <c r="F10" s="1">
        <f t="shared" si="0"/>
        <v>0.91373022409195059</v>
      </c>
      <c r="G10" s="1">
        <v>0.41383777081400203</v>
      </c>
      <c r="H10" s="1">
        <v>0.40936984044554803</v>
      </c>
      <c r="I10" s="1">
        <v>0.54062780653887899</v>
      </c>
      <c r="J10" s="1">
        <f t="shared" si="1"/>
        <v>0.4546118059328097</v>
      </c>
    </row>
    <row r="11" spans="1:10" x14ac:dyDescent="0.3">
      <c r="A11" s="1" t="s">
        <v>14</v>
      </c>
      <c r="B11" s="1" t="s">
        <v>9</v>
      </c>
      <c r="C11" s="1">
        <v>0.92532700092091602</v>
      </c>
      <c r="D11" s="1">
        <v>0.89758404679731196</v>
      </c>
      <c r="E11" s="1">
        <v>0.90032687220330099</v>
      </c>
      <c r="F11" s="1">
        <f t="shared" si="0"/>
        <v>0.90774597330717632</v>
      </c>
      <c r="G11" s="1">
        <v>0.33608603245631802</v>
      </c>
      <c r="H11" s="1">
        <v>0.33348533874632602</v>
      </c>
      <c r="I11" s="1">
        <v>0.31706711958735301</v>
      </c>
      <c r="J11" s="1">
        <f t="shared" si="1"/>
        <v>0.32887949692999902</v>
      </c>
    </row>
    <row r="12" spans="1:10" x14ac:dyDescent="0.3">
      <c r="A12" s="1" t="s">
        <v>14</v>
      </c>
      <c r="B12" s="1" t="s">
        <v>10</v>
      </c>
      <c r="C12" s="1">
        <v>0.95140966936136995</v>
      </c>
      <c r="D12" s="1">
        <v>0.96809902459479402</v>
      </c>
      <c r="E12" s="1">
        <v>0.94523751611053597</v>
      </c>
      <c r="F12" s="1">
        <f t="shared" si="0"/>
        <v>0.95491540335556679</v>
      </c>
      <c r="G12" s="1">
        <v>0.30008219955906401</v>
      </c>
      <c r="H12" s="1">
        <v>0.27362258900821401</v>
      </c>
      <c r="I12" s="1">
        <v>0.33935814504123901</v>
      </c>
      <c r="J12" s="1">
        <f t="shared" si="1"/>
        <v>0.30435431120283901</v>
      </c>
    </row>
    <row r="13" spans="1:10" x14ac:dyDescent="0.3">
      <c r="A13" s="1" t="s">
        <v>14</v>
      </c>
      <c r="B13" s="1" t="s">
        <v>11</v>
      </c>
      <c r="C13" s="1">
        <v>0.95279478872511603</v>
      </c>
      <c r="D13" s="1">
        <v>0.95788020823157705</v>
      </c>
      <c r="E13" s="1">
        <v>0.79233359958389804</v>
      </c>
      <c r="F13" s="1">
        <f t="shared" si="0"/>
        <v>0.90100286551353026</v>
      </c>
      <c r="G13" s="1">
        <v>0.53766334959113804</v>
      </c>
      <c r="H13" s="1">
        <v>0.54154415044215998</v>
      </c>
      <c r="I13" s="1">
        <v>0.68920033743397902</v>
      </c>
      <c r="J13" s="1">
        <f t="shared" si="1"/>
        <v>0.58946927915575908</v>
      </c>
    </row>
    <row r="15" spans="1:10" x14ac:dyDescent="0.3">
      <c r="A15" s="2" t="s">
        <v>15</v>
      </c>
      <c r="B15" s="2">
        <f>AVERAGE(C2:E13)</f>
        <v>0.92274115075138496</v>
      </c>
    </row>
    <row r="16" spans="1:10" x14ac:dyDescent="0.3">
      <c r="A16" s="2" t="s">
        <v>16</v>
      </c>
      <c r="B16" s="2">
        <f>_xlfn.STDEV.S(C2:E13)</f>
        <v>5.1024637799411063E-2</v>
      </c>
    </row>
    <row r="17" spans="1:2" x14ac:dyDescent="0.3">
      <c r="A17" s="2" t="s">
        <v>17</v>
      </c>
      <c r="B17" s="2">
        <f>AVERAGE(G2:I13)</f>
        <v>0.47427274591877694</v>
      </c>
    </row>
    <row r="18" spans="1:2" x14ac:dyDescent="0.3">
      <c r="A18" s="2" t="s">
        <v>18</v>
      </c>
      <c r="B18" s="2">
        <f>_xlfn.STDEV.S(G2:I13)</f>
        <v>0.16241837125515474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Integrated_Values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localadmin</cp:lastModifiedBy>
  <dcterms:created xsi:type="dcterms:W3CDTF">2026-04-27T15:13:42Z</dcterms:created>
  <dcterms:modified xsi:type="dcterms:W3CDTF">2026-04-29T23:08:21Z</dcterms:modified>
</cp:coreProperties>
</file>